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9528" activeTab="3"/>
  </bookViews>
  <sheets>
    <sheet name="Sheet1" sheetId="1" r:id="rId1"/>
    <sheet name="Sheet2" sheetId="2" r:id="rId2"/>
    <sheet name="Sheet3" sheetId="3" r:id="rId3"/>
    <sheet name="Sheet4" sheetId="4" r:id="rId4"/>
  </sheets>
  <calcPr calcId="145621"/>
</workbook>
</file>

<file path=xl/calcChain.xml><?xml version="1.0" encoding="utf-8"?>
<calcChain xmlns="http://schemas.openxmlformats.org/spreadsheetml/2006/main">
  <c r="D30" i="4" l="1"/>
  <c r="D29" i="4"/>
  <c r="D28" i="4"/>
  <c r="D27" i="4"/>
  <c r="D26" i="4"/>
  <c r="D11" i="4"/>
  <c r="D24" i="4"/>
  <c r="D21" i="4"/>
  <c r="D18" i="4"/>
  <c r="J9" i="2" l="1"/>
  <c r="D2" i="2" l="1"/>
  <c r="C4" i="2"/>
  <c r="D4" i="2" s="1"/>
  <c r="E6" i="2"/>
  <c r="C5" i="2"/>
  <c r="D5" i="2" s="1"/>
  <c r="C2" i="2"/>
  <c r="C3" i="2"/>
  <c r="D3" i="2" s="1"/>
  <c r="B6" i="2"/>
  <c r="D6" i="2" l="1"/>
</calcChain>
</file>

<file path=xl/sharedStrings.xml><?xml version="1.0" encoding="utf-8"?>
<sst xmlns="http://schemas.openxmlformats.org/spreadsheetml/2006/main" count="253" uniqueCount="185">
  <si>
    <t>Komplexität in %</t>
  </si>
  <si>
    <t>Anzahl Module</t>
  </si>
  <si>
    <t>0 bis 10 %</t>
  </si>
  <si>
    <t>10 bis 20 %</t>
  </si>
  <si>
    <t>20 bis 30 %</t>
  </si>
  <si>
    <t>30 bis 40 %</t>
  </si>
  <si>
    <t>40 bis 50 %</t>
  </si>
  <si>
    <t>50 bis 60 %</t>
  </si>
  <si>
    <t>60 bis 70 %</t>
  </si>
  <si>
    <t>70 bis 80 %</t>
  </si>
  <si>
    <t>80 bis 90 %</t>
  </si>
  <si>
    <t>90 bis 100 %</t>
  </si>
  <si>
    <t>A</t>
  </si>
  <si>
    <t>B</t>
  </si>
  <si>
    <t>C</t>
  </si>
  <si>
    <t>D</t>
  </si>
  <si>
    <t>Class</t>
  </si>
  <si>
    <t>Issues</t>
  </si>
  <si>
    <t>Time in Minutes</t>
  </si>
  <si>
    <t>Minutes</t>
  </si>
  <si>
    <t>Hours</t>
  </si>
  <si>
    <t>Built-In</t>
  </si>
  <si>
    <t>Anzahl</t>
  </si>
  <si>
    <t>Built-In Betrachtung</t>
  </si>
  <si>
    <t>Beschreibung</t>
  </si>
  <si>
    <t>Ersetzung</t>
  </si>
  <si>
    <t>Klasse</t>
  </si>
  <si>
    <t>CHAR</t>
  </si>
  <si>
    <t>char</t>
  </si>
  <si>
    <t>wird automatisch gemacht</t>
  </si>
  <si>
    <t>BREAK</t>
  </si>
  <si>
    <t>break</t>
  </si>
  <si>
    <t>Dieser Fehler wird durch den Migrations Assistenten automatisch ersetzt. in der search_replace properties koennen weitere Austausch Objekte eingetragen werden.</t>
  </si>
  <si>
    <t>DEBUG.SUSPEND</t>
  </si>
  <si>
    <t>CREATE_TIMER</t>
  </si>
  <si>
    <t>create_timer</t>
  </si>
  <si>
    <t>Das ist kein Fehler sondern nur ein Performance Problem hat keine Auswirkung auf die Migration</t>
  </si>
  <si>
    <t>KEINE</t>
  </si>
  <si>
    <t>DELETE_TIMER</t>
  </si>
  <si>
    <t>delete_timer</t>
  </si>
  <si>
    <t>DESNAME</t>
  </si>
  <si>
    <t>desname</t>
  </si>
  <si>
    <t>Muss angepasst werden</t>
  </si>
  <si>
    <t>Haendisch anpassen</t>
  </si>
  <si>
    <t>ENABLE_ITEM</t>
  </si>
  <si>
    <t>enable_item</t>
  </si>
  <si>
    <t>Dieser Fehler wird durch den Migrations Assistenten automatisch ersetzt. in der search_replace properties koennen weitere Austausch Objekte eingetragen werden. Use SET_MENU_ITEM_PROPERTY().</t>
  </si>
  <si>
    <t>ENABLEDISABLEITEM.REPLACEENABLEMENU</t>
  </si>
  <si>
    <t>FORMS_OLE.INITIALIZE_CONTAINER</t>
  </si>
  <si>
    <t>forms_ole.initialize_container</t>
  </si>
  <si>
    <t>FORMS_OLE.SERVER_ACTIVE</t>
  </si>
  <si>
    <t>forms_ole.server_active</t>
  </si>
  <si>
    <t>GET_WINDOW_PROPERTY</t>
  </si>
  <si>
    <t>get_window_property</t>
  </si>
  <si>
    <t>Auslesen von Windows Informationen</t>
  </si>
  <si>
    <t>-- get_window_property</t>
  </si>
  <si>
    <t>HOST</t>
  </si>
  <si>
    <t>host</t>
  </si>
  <si>
    <t>CLIENT_UTIL.HOST</t>
  </si>
  <si>
    <t>INITIALIZE_CONTAINER</t>
  </si>
  <si>
    <t>initialize_container</t>
  </si>
  <si>
    <t>ITEM_ENABLED</t>
  </si>
  <si>
    <t>item_enabled</t>
  </si>
  <si>
    <t>Use GET_MENU_ITEM_PROPERTY(, ENABLED).Item_Enabled will work in Oracle Forms, but will be removedin a future release.</t>
  </si>
  <si>
    <t>replace mit client_util.item_enabled()</t>
  </si>
  <si>
    <t>OLE2</t>
  </si>
  <si>
    <t>ole2</t>
  </si>
  <si>
    <t>client_ole2</t>
  </si>
  <si>
    <t>ORA_FFI</t>
  </si>
  <si>
    <t>ora_ffi</t>
  </si>
  <si>
    <t>Muss neu geschrieben werden</t>
  </si>
  <si>
    <t>POPUPMENU_COPY_ITEM</t>
  </si>
  <si>
    <t>popupmenu_copy_item</t>
  </si>
  <si>
    <t>keine migration</t>
  </si>
  <si>
    <t>POPUPMENU_CUT_ITEM</t>
  </si>
  <si>
    <t>popupmenu_cut_item</t>
  </si>
  <si>
    <t>POPUPMENU_DELOBJ_ITEM</t>
  </si>
  <si>
    <t>popupmenu_delobj_item</t>
  </si>
  <si>
    <t>POPUPMENU_INSOBJ_ITEM</t>
  </si>
  <si>
    <t>popupmenu_insobj_item</t>
  </si>
  <si>
    <t>POPUPMENU_LINKS_ITEM</t>
  </si>
  <si>
    <t>popupmenu_links_item</t>
  </si>
  <si>
    <t>POPUPMENU_OBJECT_ITEM</t>
  </si>
  <si>
    <t>popupmenu_object_item</t>
  </si>
  <si>
    <t>POPUPMENU_PASTE_ITEM</t>
  </si>
  <si>
    <t>popupmenu_paste_item</t>
  </si>
  <si>
    <t>RUN_PRODUCT</t>
  </si>
  <si>
    <t>run_product</t>
  </si>
  <si>
    <t>obsolete</t>
  </si>
  <si>
    <t>ersetzen mit tvd_run_product</t>
  </si>
  <si>
    <t>SERVER_ACTIVE</t>
  </si>
  <si>
    <t>server_active</t>
  </si>
  <si>
    <t>SET_APPLICATION_PROPERTY</t>
  </si>
  <si>
    <t>set_application_property</t>
  </si>
  <si>
    <t>Cursor wird gesetzt</t>
  </si>
  <si>
    <t>null;--set_application_property(cursor_style</t>
  </si>
  <si>
    <t>SET_TIMER</t>
  </si>
  <si>
    <t>set_timer</t>
  </si>
  <si>
    <t>SYNCHRONIZE</t>
  </si>
  <si>
    <t>synchronize</t>
  </si>
  <si>
    <t>TERMINATE</t>
  </si>
  <si>
    <t>terminate</t>
  </si>
  <si>
    <t>Obsolete keine Migration</t>
  </si>
  <si>
    <t>replace null;-- terminate</t>
  </si>
  <si>
    <t>TEXT_IO</t>
  </si>
  <si>
    <t>text_io</t>
  </si>
  <si>
    <t>client_text_io</t>
  </si>
  <si>
    <t>TEXT_IO.FCLOSE</t>
  </si>
  <si>
    <t>text_io.fclose</t>
  </si>
  <si>
    <t>client_util.fclose</t>
  </si>
  <si>
    <t>TEXT_IO.PUT_LINE</t>
  </si>
  <si>
    <t>text_io.put_line</t>
  </si>
  <si>
    <t>client_util.put_line</t>
  </si>
  <si>
    <t>USER_EXIT</t>
  </si>
  <si>
    <t>user_exit</t>
  </si>
  <si>
    <t>WIN_API.SW_SHOWNORMAL</t>
  </si>
  <si>
    <t>win_api.sw_shownormal</t>
  </si>
  <si>
    <t>CLIENT_API.SW_SHOWNORMAL</t>
  </si>
  <si>
    <t>WIN_API_DIALOG</t>
  </si>
  <si>
    <t>win_api_dialog</t>
  </si>
  <si>
    <t>WIN_API_DIALOG.OPEN_FILE</t>
  </si>
  <si>
    <t>win_api_dialog.open_file</t>
  </si>
  <si>
    <t>Dialog zum öffnen einer Datei</t>
  </si>
  <si>
    <t>@ReplaceFileOpenDialog</t>
  </si>
  <si>
    <t>WIN_API_DIALOG.SELECT_PRINTER</t>
  </si>
  <si>
    <t>win_api_dialog.select_printer</t>
  </si>
  <si>
    <t>Auswahl für Drucker</t>
  </si>
  <si>
    <t>CLIENT_UTIL.SELECT_PRINTER 'default_value('''',''global.printer_name'');' + chr(10) +</t>
  </si>
  <si>
    <t>WIN_API_ENVIRONMENT</t>
  </si>
  <si>
    <t>win_api_environment</t>
  </si>
  <si>
    <t>client_win_api_environment</t>
  </si>
  <si>
    <t>WIN_API_ENVIRONMENT.READ_REGISTRY</t>
  </si>
  <si>
    <t>win_api_environment.read_registry</t>
  </si>
  <si>
    <t>Auslesen von Registry Einrägen</t>
  </si>
  <si>
    <t>CLIENT_UTIL.Read_Registry</t>
  </si>
  <si>
    <t>WIN_API_SESSION</t>
  </si>
  <si>
    <t>win_api_session</t>
  </si>
  <si>
    <t>WIN_API_SHELL</t>
  </si>
  <si>
    <t>win_api_shell</t>
  </si>
  <si>
    <t>WIN_API_SHELL.WINEXEC</t>
  </si>
  <si>
    <t>win_api_shell.winexec</t>
  </si>
  <si>
    <t>Ausfuehren eins OS command</t>
  </si>
  <si>
    <t>WIN_API_UTILITY</t>
  </si>
  <si>
    <t>win_api_utility</t>
  </si>
  <si>
    <t>WIN_API_UTILITY.COPY_FILE</t>
  </si>
  <si>
    <t>win_api_utility.copy_file</t>
  </si>
  <si>
    <t>Kopieren einer Datei</t>
  </si>
  <si>
    <t>CLIENT_UTIL.copy_file_host</t>
  </si>
  <si>
    <t>WIN_API_UTILITY.DELETE_FILE</t>
  </si>
  <si>
    <t>win_api_utility.delete_file</t>
  </si>
  <si>
    <t>Löschen einer Datei</t>
  </si>
  <si>
    <t>CLIENT_UTIL.Delete_File</t>
  </si>
  <si>
    <t>WIN_API_UTILITY.GENERATE_TEMP_FILENAME</t>
  </si>
  <si>
    <t>win_api_utility.generate_temp_filename</t>
  </si>
  <si>
    <t>Erstellen eines Temp Files</t>
  </si>
  <si>
    <t>CLIENT_UTIL.Generate_Temp_Filename</t>
  </si>
  <si>
    <t>WIN_API_UTILITY.MOVE_FILE</t>
  </si>
  <si>
    <t>win_api_utility.move_file</t>
  </si>
  <si>
    <t>Eine Datei verschieben</t>
  </si>
  <si>
    <t>CLIENT_UTIL.Move_File</t>
  </si>
  <si>
    <t>WIN_API_UTILITY.PLAY_WAV</t>
  </si>
  <si>
    <t>win_api_utility.play_wav</t>
  </si>
  <si>
    <t>Abspielen eines Sounds</t>
  </si>
  <si>
    <t>CLIENT_UTIL.Play_Wav Einbinden der java Klassen</t>
  </si>
  <si>
    <t>reports</t>
  </si>
  <si>
    <t>normal</t>
  </si>
  <si>
    <t>Reports</t>
  </si>
  <si>
    <t xml:space="preserve">Definition of Migration Environment (Server and Forms Client) </t>
  </si>
  <si>
    <t>Setup Migration Environment (Forms/Reports Server, Install and Configure)</t>
  </si>
  <si>
    <t>Install Forms/Reports Server, Forms/Reports Development Tools</t>
  </si>
  <si>
    <t xml:space="preserve">Configure Forms/Reports Server </t>
  </si>
  <si>
    <t>Install and Configure Client Environment (JRE Version)</t>
  </si>
  <si>
    <t>Additional Configuration for Application</t>
  </si>
  <si>
    <t>Coaching on Installation and Configuration</t>
  </si>
  <si>
    <t>Migration of GEFI Application</t>
  </si>
  <si>
    <t>Reports Layout Changes</t>
  </si>
  <si>
    <t>Development Testing of Basic Functionality</t>
  </si>
  <si>
    <t>Corrections</t>
  </si>
  <si>
    <t>Prepare Oracle Demo for solved Migration issues and Workshop</t>
  </si>
  <si>
    <t>Projekt Management 15%</t>
  </si>
  <si>
    <t>Risk 25%</t>
  </si>
  <si>
    <t>Documentation on Installation and Configuration</t>
  </si>
  <si>
    <t>Forms Layout Changes</t>
  </si>
  <si>
    <t>Forms Behavior Changes</t>
  </si>
  <si>
    <t>Forms Navigation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</si>
</sst>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2" fontId="0" fillId="0" borderId="0" xfId="0" applyNumberFormat="1"/>
    <xf numFmtId="0" fontId="2" fillId="0" borderId="0" xfId="1" applyAlignment="1">
      <alignment vertical="center"/>
    </xf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/Analyse/report/mod_forms_ole.server_active.htm" TargetMode="External"/><Relationship Id="rId13" Type="http://schemas.openxmlformats.org/officeDocument/2006/relationships/hyperlink" Target="../Analyse/report/mod_ole2.htm" TargetMode="External"/><Relationship Id="rId18" Type="http://schemas.openxmlformats.org/officeDocument/2006/relationships/hyperlink" Target="../Analyse/report/mod_popupmenu_insobj_item.htm" TargetMode="External"/><Relationship Id="rId26" Type="http://schemas.openxmlformats.org/officeDocument/2006/relationships/hyperlink" Target="../Analyse/report/mod_synchronize.htm" TargetMode="External"/><Relationship Id="rId39" Type="http://schemas.openxmlformats.org/officeDocument/2006/relationships/hyperlink" Target="../Analyse/report/mod_win_api_shell.htm" TargetMode="External"/><Relationship Id="rId3" Type="http://schemas.openxmlformats.org/officeDocument/2006/relationships/hyperlink" Target="../Analyse/report/mod_create_timer.htm" TargetMode="External"/><Relationship Id="rId21" Type="http://schemas.openxmlformats.org/officeDocument/2006/relationships/hyperlink" Target="../Analyse/report/mod_popupmenu_paste_item.htm" TargetMode="External"/><Relationship Id="rId34" Type="http://schemas.openxmlformats.org/officeDocument/2006/relationships/hyperlink" Target="../Analyse/report/mod_win_api_dialog.open_file.htm" TargetMode="External"/><Relationship Id="rId42" Type="http://schemas.openxmlformats.org/officeDocument/2006/relationships/hyperlink" Target="../Analyse/report/mod_win_api_utility.copy_file.htm" TargetMode="External"/><Relationship Id="rId7" Type="http://schemas.openxmlformats.org/officeDocument/2006/relationships/hyperlink" Target="../Analyse/report/mod_forms_ole.initialize_container.htm" TargetMode="External"/><Relationship Id="rId12" Type="http://schemas.openxmlformats.org/officeDocument/2006/relationships/hyperlink" Target="../Analyse/report/mod_item_enabled.htm" TargetMode="External"/><Relationship Id="rId17" Type="http://schemas.openxmlformats.org/officeDocument/2006/relationships/hyperlink" Target="../Analyse/report/mod_popupmenu_delobj_item.htm" TargetMode="External"/><Relationship Id="rId25" Type="http://schemas.openxmlformats.org/officeDocument/2006/relationships/hyperlink" Target="../Analyse/report/mod_set_timer.htm" TargetMode="External"/><Relationship Id="rId33" Type="http://schemas.openxmlformats.org/officeDocument/2006/relationships/hyperlink" Target="../Analyse/report/mod_win_api_dialog.htm" TargetMode="External"/><Relationship Id="rId38" Type="http://schemas.openxmlformats.org/officeDocument/2006/relationships/hyperlink" Target="../Analyse/report/mod_win_api_session.htm" TargetMode="External"/><Relationship Id="rId46" Type="http://schemas.openxmlformats.org/officeDocument/2006/relationships/hyperlink" Target="../Analyse/report/mod_win_api_utility.play_wav.htm" TargetMode="External"/><Relationship Id="rId2" Type="http://schemas.openxmlformats.org/officeDocument/2006/relationships/hyperlink" Target="../Analyse/report/mod_break.htm" TargetMode="External"/><Relationship Id="rId16" Type="http://schemas.openxmlformats.org/officeDocument/2006/relationships/hyperlink" Target="../Analyse/report/mod_popupmenu_cut_item.htm" TargetMode="External"/><Relationship Id="rId20" Type="http://schemas.openxmlformats.org/officeDocument/2006/relationships/hyperlink" Target="../Analyse/report/mod_popupmenu_object_item.htm" TargetMode="External"/><Relationship Id="rId29" Type="http://schemas.openxmlformats.org/officeDocument/2006/relationships/hyperlink" Target="../Analyse/report/mod_text_io.fclose.htm" TargetMode="External"/><Relationship Id="rId41" Type="http://schemas.openxmlformats.org/officeDocument/2006/relationships/hyperlink" Target="../Analyse/report/mod_win_api_utility.htm" TargetMode="External"/><Relationship Id="rId1" Type="http://schemas.openxmlformats.org/officeDocument/2006/relationships/hyperlink" Target="../Analyse/report/mod_char.htm" TargetMode="External"/><Relationship Id="rId6" Type="http://schemas.openxmlformats.org/officeDocument/2006/relationships/hyperlink" Target="../Analyse/report/mod_enable_item.htm" TargetMode="External"/><Relationship Id="rId11" Type="http://schemas.openxmlformats.org/officeDocument/2006/relationships/hyperlink" Target="../Analyse/report/mod_initialize_container.htm" TargetMode="External"/><Relationship Id="rId24" Type="http://schemas.openxmlformats.org/officeDocument/2006/relationships/hyperlink" Target="../Analyse/report/mod_set_application_property.htm" TargetMode="External"/><Relationship Id="rId32" Type="http://schemas.openxmlformats.org/officeDocument/2006/relationships/hyperlink" Target="../Analyse/report/mod_win_api.sw_shownormal.htm" TargetMode="External"/><Relationship Id="rId37" Type="http://schemas.openxmlformats.org/officeDocument/2006/relationships/hyperlink" Target="../Analyse/report/mod_win_api_environment.read_registry.htm" TargetMode="External"/><Relationship Id="rId40" Type="http://schemas.openxmlformats.org/officeDocument/2006/relationships/hyperlink" Target="../Analyse/report/mod_win_api_shell.winexec.htm" TargetMode="External"/><Relationship Id="rId45" Type="http://schemas.openxmlformats.org/officeDocument/2006/relationships/hyperlink" Target="../Analyse/report/mod_win_api_utility.move_file.htm" TargetMode="External"/><Relationship Id="rId5" Type="http://schemas.openxmlformats.org/officeDocument/2006/relationships/hyperlink" Target="../Analyse/report/mod_desname.htm" TargetMode="External"/><Relationship Id="rId15" Type="http://schemas.openxmlformats.org/officeDocument/2006/relationships/hyperlink" Target="../Analyse/report/mod_popupmenu_copy_item.htm" TargetMode="External"/><Relationship Id="rId23" Type="http://schemas.openxmlformats.org/officeDocument/2006/relationships/hyperlink" Target="../Analyse/report/mod_server_active.htm" TargetMode="External"/><Relationship Id="rId28" Type="http://schemas.openxmlformats.org/officeDocument/2006/relationships/hyperlink" Target="../Analyse/report/mod_text_io.htm" TargetMode="External"/><Relationship Id="rId36" Type="http://schemas.openxmlformats.org/officeDocument/2006/relationships/hyperlink" Target="../Analyse/report/mod_win_api_environment.htm" TargetMode="External"/><Relationship Id="rId10" Type="http://schemas.openxmlformats.org/officeDocument/2006/relationships/hyperlink" Target="../Analyse/report/mod_host.htm" TargetMode="External"/><Relationship Id="rId19" Type="http://schemas.openxmlformats.org/officeDocument/2006/relationships/hyperlink" Target="../Analyse/report/mod_popupmenu_links_item.htm" TargetMode="External"/><Relationship Id="rId31" Type="http://schemas.openxmlformats.org/officeDocument/2006/relationships/hyperlink" Target="../Analyse/report/mod_user_exit.htm" TargetMode="External"/><Relationship Id="rId44" Type="http://schemas.openxmlformats.org/officeDocument/2006/relationships/hyperlink" Target="../Analyse/report/mod_win_api_utility.generate_temp_filename.htm" TargetMode="External"/><Relationship Id="rId4" Type="http://schemas.openxmlformats.org/officeDocument/2006/relationships/hyperlink" Target="../Analyse/report/mod_delete_timer.htm" TargetMode="External"/><Relationship Id="rId9" Type="http://schemas.openxmlformats.org/officeDocument/2006/relationships/hyperlink" Target="../Analyse/report/mod_get_window_property.htm" TargetMode="External"/><Relationship Id="rId14" Type="http://schemas.openxmlformats.org/officeDocument/2006/relationships/hyperlink" Target="../Analyse/report/mod_ora_ffi.htm" TargetMode="External"/><Relationship Id="rId22" Type="http://schemas.openxmlformats.org/officeDocument/2006/relationships/hyperlink" Target="../Analyse/report/mod_run_product.htm" TargetMode="External"/><Relationship Id="rId27" Type="http://schemas.openxmlformats.org/officeDocument/2006/relationships/hyperlink" Target="../Analyse/report/mod_terminate.htm" TargetMode="External"/><Relationship Id="rId30" Type="http://schemas.openxmlformats.org/officeDocument/2006/relationships/hyperlink" Target="../Analyse/report/mod_text_io.put_line.htm" TargetMode="External"/><Relationship Id="rId35" Type="http://schemas.openxmlformats.org/officeDocument/2006/relationships/hyperlink" Target="../Analyse/report/mod_win_api_dialog.select_printer.htm" TargetMode="External"/><Relationship Id="rId43" Type="http://schemas.openxmlformats.org/officeDocument/2006/relationships/hyperlink" Target="../Analyse/report/mod_win_api_utility.delete_fil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E6" sqref="E6"/>
    </sheetView>
  </sheetViews>
  <sheetFormatPr defaultRowHeight="14.4" x14ac:dyDescent="0.3"/>
  <cols>
    <col min="1" max="1" width="15.109375" bestFit="1" customWidth="1"/>
    <col min="2" max="2" width="13.77734375" bestFit="1" customWidth="1"/>
  </cols>
  <sheetData>
    <row r="1" spans="1:4" x14ac:dyDescent="0.3">
      <c r="A1" s="1" t="s">
        <v>0</v>
      </c>
      <c r="B1" s="1" t="s">
        <v>1</v>
      </c>
    </row>
    <row r="2" spans="1:4" x14ac:dyDescent="0.3">
      <c r="A2" s="2" t="s">
        <v>2</v>
      </c>
      <c r="B2" s="2">
        <v>10</v>
      </c>
      <c r="D2">
        <v>48</v>
      </c>
    </row>
    <row r="3" spans="1:4" x14ac:dyDescent="0.3">
      <c r="A3" s="2" t="s">
        <v>3</v>
      </c>
      <c r="B3" s="2">
        <v>13</v>
      </c>
    </row>
    <row r="4" spans="1:4" x14ac:dyDescent="0.3">
      <c r="A4" s="2" t="s">
        <v>4</v>
      </c>
      <c r="B4" s="2">
        <v>15</v>
      </c>
    </row>
    <row r="5" spans="1:4" x14ac:dyDescent="0.3">
      <c r="A5" s="2" t="s">
        <v>5</v>
      </c>
      <c r="B5" s="2">
        <v>10</v>
      </c>
    </row>
    <row r="6" spans="1:4" x14ac:dyDescent="0.3">
      <c r="A6" s="2" t="s">
        <v>6</v>
      </c>
      <c r="B6" s="2">
        <v>18</v>
      </c>
      <c r="D6">
        <v>85</v>
      </c>
    </row>
    <row r="7" spans="1:4" x14ac:dyDescent="0.3">
      <c r="A7" s="2" t="s">
        <v>7</v>
      </c>
      <c r="B7" s="2">
        <v>67</v>
      </c>
    </row>
    <row r="8" spans="1:4" x14ac:dyDescent="0.3">
      <c r="A8" s="2" t="s">
        <v>8</v>
      </c>
      <c r="B8" s="2">
        <v>39</v>
      </c>
      <c r="D8">
        <v>442</v>
      </c>
    </row>
    <row r="9" spans="1:4" x14ac:dyDescent="0.3">
      <c r="A9" s="2" t="s">
        <v>9</v>
      </c>
      <c r="B9" s="2">
        <v>122</v>
      </c>
    </row>
    <row r="10" spans="1:4" x14ac:dyDescent="0.3">
      <c r="A10" s="2" t="s">
        <v>10</v>
      </c>
      <c r="B10" s="2">
        <v>189</v>
      </c>
    </row>
    <row r="11" spans="1:4" x14ac:dyDescent="0.3">
      <c r="A11" s="2" t="s">
        <v>11</v>
      </c>
      <c r="B11" s="2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K2" sqref="K2:N23"/>
    </sheetView>
  </sheetViews>
  <sheetFormatPr defaultRowHeight="14.4" x14ac:dyDescent="0.3"/>
  <cols>
    <col min="1" max="1" width="13.33203125" bestFit="1" customWidth="1"/>
    <col min="2" max="2" width="14" bestFit="1" customWidth="1"/>
    <col min="4" max="4" width="13.33203125" bestFit="1" customWidth="1"/>
    <col min="12" max="12" width="3.33203125" customWidth="1"/>
    <col min="13" max="13" width="65.6640625" customWidth="1"/>
  </cols>
  <sheetData>
    <row r="1" spans="1:10" x14ac:dyDescent="0.3">
      <c r="A1" t="s">
        <v>16</v>
      </c>
      <c r="B1" s="3" t="s">
        <v>17</v>
      </c>
      <c r="C1" s="3" t="s">
        <v>19</v>
      </c>
      <c r="D1" s="3" t="s">
        <v>20</v>
      </c>
    </row>
    <row r="2" spans="1:10" x14ac:dyDescent="0.3">
      <c r="A2" t="s">
        <v>12</v>
      </c>
      <c r="B2">
        <v>3019</v>
      </c>
      <c r="C2">
        <f>B2*$B$11</f>
        <v>6038</v>
      </c>
      <c r="D2" s="4">
        <f>C2/60/8.4</f>
        <v>11.980158730158731</v>
      </c>
      <c r="E2" s="4">
        <v>11.98</v>
      </c>
      <c r="I2" t="s">
        <v>69</v>
      </c>
      <c r="J2">
        <v>6</v>
      </c>
    </row>
    <row r="3" spans="1:10" x14ac:dyDescent="0.3">
      <c r="A3" t="s">
        <v>13</v>
      </c>
      <c r="B3">
        <v>1</v>
      </c>
      <c r="C3">
        <f>B3*$B$12</f>
        <v>20</v>
      </c>
      <c r="D3" s="4">
        <f t="shared" ref="D3:D5" si="0">C3/60/8.4</f>
        <v>3.968253968253968E-2</v>
      </c>
      <c r="E3" s="4">
        <v>0.04</v>
      </c>
      <c r="I3" t="s">
        <v>164</v>
      </c>
      <c r="J3">
        <v>2</v>
      </c>
    </row>
    <row r="4" spans="1:10" x14ac:dyDescent="0.3">
      <c r="A4" t="s">
        <v>14</v>
      </c>
      <c r="B4">
        <v>16</v>
      </c>
      <c r="C4">
        <f>B4*$B$13</f>
        <v>96</v>
      </c>
      <c r="D4" s="4">
        <f t="shared" si="0"/>
        <v>0.19047619047619047</v>
      </c>
      <c r="E4" s="4">
        <v>0.2</v>
      </c>
      <c r="I4" t="s">
        <v>105</v>
      </c>
      <c r="J4">
        <v>1</v>
      </c>
    </row>
    <row r="5" spans="1:10" x14ac:dyDescent="0.3">
      <c r="A5" t="s">
        <v>15</v>
      </c>
      <c r="B5">
        <v>423</v>
      </c>
      <c r="C5">
        <f>B5*$B$15</f>
        <v>16920</v>
      </c>
      <c r="D5" s="4">
        <f t="shared" si="0"/>
        <v>33.571428571428569</v>
      </c>
      <c r="E5" s="4">
        <v>33.58</v>
      </c>
      <c r="I5" t="s">
        <v>66</v>
      </c>
      <c r="J5">
        <v>3</v>
      </c>
    </row>
    <row r="6" spans="1:10" x14ac:dyDescent="0.3">
      <c r="B6">
        <f>SUM(B2:B5)</f>
        <v>3459</v>
      </c>
      <c r="D6" s="4">
        <f>SUM(D2:D5)</f>
        <v>45.781746031746032</v>
      </c>
      <c r="E6" s="4">
        <f>SUM(E2:E5)</f>
        <v>45.8</v>
      </c>
      <c r="I6" t="s">
        <v>57</v>
      </c>
      <c r="J6">
        <v>1</v>
      </c>
    </row>
    <row r="7" spans="1:10" x14ac:dyDescent="0.3">
      <c r="I7" t="s">
        <v>165</v>
      </c>
      <c r="J7">
        <v>2</v>
      </c>
    </row>
    <row r="8" spans="1:10" x14ac:dyDescent="0.3">
      <c r="I8" t="s">
        <v>166</v>
      </c>
      <c r="J8">
        <v>3</v>
      </c>
    </row>
    <row r="9" spans="1:10" x14ac:dyDescent="0.3">
      <c r="A9" t="s">
        <v>16</v>
      </c>
      <c r="B9" s="3" t="s">
        <v>18</v>
      </c>
      <c r="J9">
        <f>SUM(J2:J8)</f>
        <v>18</v>
      </c>
    </row>
    <row r="10" spans="1:10" x14ac:dyDescent="0.3">
      <c r="A10" t="s">
        <v>12</v>
      </c>
      <c r="B10">
        <v>0</v>
      </c>
    </row>
    <row r="11" spans="1:10" x14ac:dyDescent="0.3">
      <c r="A11" t="s">
        <v>12</v>
      </c>
      <c r="B11">
        <v>2</v>
      </c>
    </row>
    <row r="12" spans="1:10" x14ac:dyDescent="0.3">
      <c r="A12" t="s">
        <v>13</v>
      </c>
      <c r="B12">
        <v>20</v>
      </c>
    </row>
    <row r="13" spans="1:10" x14ac:dyDescent="0.3">
      <c r="A13" t="s">
        <v>14</v>
      </c>
      <c r="B13">
        <v>6</v>
      </c>
    </row>
    <row r="14" spans="1:10" x14ac:dyDescent="0.3">
      <c r="A14" t="s">
        <v>14</v>
      </c>
      <c r="B14">
        <v>30</v>
      </c>
    </row>
    <row r="15" spans="1:10" x14ac:dyDescent="0.3">
      <c r="A15" t="s">
        <v>15</v>
      </c>
      <c r="B15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>
      <selection activeCell="A2" sqref="A2:C47"/>
    </sheetView>
  </sheetViews>
  <sheetFormatPr defaultRowHeight="14.4" x14ac:dyDescent="0.3"/>
  <cols>
    <col min="1" max="1" width="6.109375" bestFit="1" customWidth="1"/>
    <col min="2" max="2" width="40.88671875" bestFit="1" customWidth="1"/>
    <col min="3" max="3" width="6.6640625" bestFit="1" customWidth="1"/>
    <col min="4" max="4" width="34.6640625" hidden="1" customWidth="1"/>
    <col min="5" max="5" width="51" customWidth="1"/>
    <col min="6" max="6" width="45.33203125" customWidth="1"/>
  </cols>
  <sheetData>
    <row r="1" spans="1:6" x14ac:dyDescent="0.3">
      <c r="A1" s="1" t="s">
        <v>26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3">
      <c r="A2" s="2" t="s">
        <v>12</v>
      </c>
      <c r="B2" s="2" t="s">
        <v>27</v>
      </c>
      <c r="C2" s="2">
        <v>246</v>
      </c>
      <c r="D2" s="5" t="s">
        <v>28</v>
      </c>
      <c r="E2" s="2" t="s">
        <v>29</v>
      </c>
      <c r="F2" s="2"/>
    </row>
    <row r="3" spans="1:6" x14ac:dyDescent="0.3">
      <c r="A3" s="2" t="s">
        <v>12</v>
      </c>
      <c r="B3" s="2" t="s">
        <v>30</v>
      </c>
      <c r="C3" s="2">
        <v>3</v>
      </c>
      <c r="D3" s="5" t="s">
        <v>31</v>
      </c>
      <c r="E3" s="2" t="s">
        <v>32</v>
      </c>
      <c r="F3" s="2" t="s">
        <v>33</v>
      </c>
    </row>
    <row r="4" spans="1:6" x14ac:dyDescent="0.3">
      <c r="A4" s="2" t="s">
        <v>12</v>
      </c>
      <c r="B4" s="2" t="s">
        <v>34</v>
      </c>
      <c r="C4" s="2">
        <v>4</v>
      </c>
      <c r="D4" s="5" t="s">
        <v>35</v>
      </c>
      <c r="E4" s="2" t="s">
        <v>36</v>
      </c>
      <c r="F4" s="2" t="s">
        <v>37</v>
      </c>
    </row>
    <row r="5" spans="1:6" x14ac:dyDescent="0.3">
      <c r="A5" s="2" t="s">
        <v>12</v>
      </c>
      <c r="B5" s="2" t="s">
        <v>38</v>
      </c>
      <c r="C5" s="2">
        <v>15</v>
      </c>
      <c r="D5" s="5" t="s">
        <v>39</v>
      </c>
      <c r="E5" s="2" t="s">
        <v>36</v>
      </c>
      <c r="F5" s="2" t="s">
        <v>37</v>
      </c>
    </row>
    <row r="6" spans="1:6" x14ac:dyDescent="0.3">
      <c r="A6" s="2" t="s">
        <v>14</v>
      </c>
      <c r="B6" s="2" t="s">
        <v>40</v>
      </c>
      <c r="C6" s="2">
        <v>16</v>
      </c>
      <c r="D6" s="5" t="s">
        <v>41</v>
      </c>
      <c r="E6" s="2" t="s">
        <v>42</v>
      </c>
      <c r="F6" s="2" t="s">
        <v>43</v>
      </c>
    </row>
    <row r="7" spans="1:6" x14ac:dyDescent="0.3">
      <c r="A7" s="2" t="s">
        <v>12</v>
      </c>
      <c r="B7" s="2" t="s">
        <v>44</v>
      </c>
      <c r="C7" s="2">
        <v>4</v>
      </c>
      <c r="D7" s="5" t="s">
        <v>45</v>
      </c>
      <c r="E7" s="2" t="s">
        <v>46</v>
      </c>
      <c r="F7" s="2" t="s">
        <v>47</v>
      </c>
    </row>
    <row r="8" spans="1:6" x14ac:dyDescent="0.3">
      <c r="A8" s="2" t="s">
        <v>12</v>
      </c>
      <c r="B8" s="2" t="s">
        <v>48</v>
      </c>
      <c r="C8" s="2">
        <v>1</v>
      </c>
      <c r="D8" s="5" t="s">
        <v>49</v>
      </c>
      <c r="E8" s="2"/>
      <c r="F8" s="2"/>
    </row>
    <row r="9" spans="1:6" x14ac:dyDescent="0.3">
      <c r="A9" s="2" t="s">
        <v>12</v>
      </c>
      <c r="B9" s="2" t="s">
        <v>50</v>
      </c>
      <c r="C9" s="2">
        <v>2</v>
      </c>
      <c r="D9" s="5" t="s">
        <v>51</v>
      </c>
      <c r="E9" s="2"/>
      <c r="F9" s="2"/>
    </row>
    <row r="10" spans="1:6" x14ac:dyDescent="0.3">
      <c r="A10" s="2" t="s">
        <v>12</v>
      </c>
      <c r="B10" s="2" t="s">
        <v>52</v>
      </c>
      <c r="C10" s="2">
        <v>810</v>
      </c>
      <c r="D10" s="5" t="s">
        <v>53</v>
      </c>
      <c r="E10" s="2" t="s">
        <v>54</v>
      </c>
      <c r="F10" s="2" t="s">
        <v>55</v>
      </c>
    </row>
    <row r="11" spans="1:6" x14ac:dyDescent="0.3">
      <c r="A11" s="2" t="s">
        <v>12</v>
      </c>
      <c r="B11" s="2" t="s">
        <v>56</v>
      </c>
      <c r="C11" s="2">
        <v>101</v>
      </c>
      <c r="D11" s="5" t="s">
        <v>57</v>
      </c>
      <c r="E11" s="2"/>
      <c r="F11" s="2" t="s">
        <v>58</v>
      </c>
    </row>
    <row r="12" spans="1:6" x14ac:dyDescent="0.3">
      <c r="A12" s="2" t="s">
        <v>12</v>
      </c>
      <c r="B12" s="2" t="s">
        <v>59</v>
      </c>
      <c r="C12" s="2">
        <v>1</v>
      </c>
      <c r="D12" s="5" t="s">
        <v>60</v>
      </c>
      <c r="E12" s="2"/>
      <c r="F12" s="2"/>
    </row>
    <row r="13" spans="1:6" x14ac:dyDescent="0.3">
      <c r="A13" s="2" t="s">
        <v>12</v>
      </c>
      <c r="B13" s="2" t="s">
        <v>61</v>
      </c>
      <c r="C13" s="2">
        <v>11</v>
      </c>
      <c r="D13" s="5" t="s">
        <v>62</v>
      </c>
      <c r="E13" s="2" t="s">
        <v>63</v>
      </c>
      <c r="F13" s="2" t="s">
        <v>64</v>
      </c>
    </row>
    <row r="14" spans="1:6" x14ac:dyDescent="0.3">
      <c r="A14" s="2" t="s">
        <v>12</v>
      </c>
      <c r="B14" s="2" t="s">
        <v>65</v>
      </c>
      <c r="C14" s="2">
        <v>62</v>
      </c>
      <c r="D14" s="5" t="s">
        <v>66</v>
      </c>
      <c r="E14" s="2"/>
      <c r="F14" s="2" t="s">
        <v>67</v>
      </c>
    </row>
    <row r="15" spans="1:6" x14ac:dyDescent="0.3">
      <c r="A15" s="2" t="s">
        <v>15</v>
      </c>
      <c r="B15" s="2" t="s">
        <v>68</v>
      </c>
      <c r="C15" s="2">
        <v>423</v>
      </c>
      <c r="D15" s="5" t="s">
        <v>69</v>
      </c>
      <c r="E15" s="2"/>
      <c r="F15" s="2" t="s">
        <v>70</v>
      </c>
    </row>
    <row r="16" spans="1:6" x14ac:dyDescent="0.3">
      <c r="A16" s="2" t="s">
        <v>12</v>
      </c>
      <c r="B16" s="2" t="s">
        <v>71</v>
      </c>
      <c r="C16" s="2">
        <v>1</v>
      </c>
      <c r="D16" s="5" t="s">
        <v>72</v>
      </c>
      <c r="E16" s="2" t="s">
        <v>73</v>
      </c>
      <c r="F16" s="2"/>
    </row>
    <row r="17" spans="1:6" x14ac:dyDescent="0.3">
      <c r="A17" s="2" t="s">
        <v>12</v>
      </c>
      <c r="B17" s="2" t="s">
        <v>74</v>
      </c>
      <c r="C17" s="2">
        <v>1</v>
      </c>
      <c r="D17" s="5" t="s">
        <v>75</v>
      </c>
      <c r="E17" s="2" t="s">
        <v>73</v>
      </c>
      <c r="F17" s="2"/>
    </row>
    <row r="18" spans="1:6" x14ac:dyDescent="0.3">
      <c r="A18" s="2" t="s">
        <v>12</v>
      </c>
      <c r="B18" s="2" t="s">
        <v>76</v>
      </c>
      <c r="C18" s="2">
        <v>1</v>
      </c>
      <c r="D18" s="5" t="s">
        <v>77</v>
      </c>
      <c r="E18" s="2" t="s">
        <v>73</v>
      </c>
      <c r="F18" s="2"/>
    </row>
    <row r="19" spans="1:6" x14ac:dyDescent="0.3">
      <c r="A19" s="2" t="s">
        <v>12</v>
      </c>
      <c r="B19" s="2" t="s">
        <v>78</v>
      </c>
      <c r="C19" s="2">
        <v>1</v>
      </c>
      <c r="D19" s="5" t="s">
        <v>79</v>
      </c>
      <c r="E19" s="2" t="s">
        <v>73</v>
      </c>
      <c r="F19" s="2"/>
    </row>
    <row r="20" spans="1:6" x14ac:dyDescent="0.3">
      <c r="A20" s="2" t="s">
        <v>12</v>
      </c>
      <c r="B20" s="2" t="s">
        <v>80</v>
      </c>
      <c r="C20" s="2">
        <v>1</v>
      </c>
      <c r="D20" s="5" t="s">
        <v>81</v>
      </c>
      <c r="E20" s="2" t="s">
        <v>73</v>
      </c>
      <c r="F20" s="2"/>
    </row>
    <row r="21" spans="1:6" x14ac:dyDescent="0.3">
      <c r="A21" s="2" t="s">
        <v>12</v>
      </c>
      <c r="B21" s="2" t="s">
        <v>82</v>
      </c>
      <c r="C21" s="2">
        <v>1</v>
      </c>
      <c r="D21" s="5" t="s">
        <v>83</v>
      </c>
      <c r="E21" s="2" t="s">
        <v>73</v>
      </c>
      <c r="F21" s="2"/>
    </row>
    <row r="22" spans="1:6" x14ac:dyDescent="0.3">
      <c r="A22" s="2" t="s">
        <v>12</v>
      </c>
      <c r="B22" s="2" t="s">
        <v>84</v>
      </c>
      <c r="C22" s="2">
        <v>1</v>
      </c>
      <c r="D22" s="5" t="s">
        <v>85</v>
      </c>
      <c r="E22" s="2" t="s">
        <v>73</v>
      </c>
      <c r="F22" s="2"/>
    </row>
    <row r="23" spans="1:6" x14ac:dyDescent="0.3">
      <c r="A23" s="2" t="s">
        <v>12</v>
      </c>
      <c r="B23" s="2" t="s">
        <v>86</v>
      </c>
      <c r="C23" s="2">
        <v>56</v>
      </c>
      <c r="D23" s="5" t="s">
        <v>87</v>
      </c>
      <c r="E23" s="2" t="s">
        <v>88</v>
      </c>
      <c r="F23" s="2" t="s">
        <v>89</v>
      </c>
    </row>
    <row r="24" spans="1:6" x14ac:dyDescent="0.3">
      <c r="A24" s="2" t="s">
        <v>12</v>
      </c>
      <c r="B24" s="2" t="s">
        <v>90</v>
      </c>
      <c r="C24" s="2">
        <v>2</v>
      </c>
      <c r="D24" s="5" t="s">
        <v>91</v>
      </c>
      <c r="E24" s="2"/>
      <c r="F24" s="2"/>
    </row>
    <row r="25" spans="1:6" x14ac:dyDescent="0.3">
      <c r="A25" s="2" t="s">
        <v>12</v>
      </c>
      <c r="B25" s="2" t="s">
        <v>92</v>
      </c>
      <c r="C25" s="2">
        <v>521</v>
      </c>
      <c r="D25" s="5" t="s">
        <v>93</v>
      </c>
      <c r="E25" s="2" t="s">
        <v>94</v>
      </c>
      <c r="F25" s="2" t="s">
        <v>95</v>
      </c>
    </row>
    <row r="26" spans="1:6" x14ac:dyDescent="0.3">
      <c r="A26" s="2" t="s">
        <v>12</v>
      </c>
      <c r="B26" s="2" t="s">
        <v>96</v>
      </c>
      <c r="C26" s="2">
        <v>1</v>
      </c>
      <c r="D26" s="5" t="s">
        <v>97</v>
      </c>
      <c r="E26" s="2" t="s">
        <v>36</v>
      </c>
      <c r="F26" s="2" t="s">
        <v>37</v>
      </c>
    </row>
    <row r="27" spans="1:6" x14ac:dyDescent="0.3">
      <c r="A27" s="2" t="s">
        <v>12</v>
      </c>
      <c r="B27" s="2" t="s">
        <v>98</v>
      </c>
      <c r="C27" s="2">
        <v>330</v>
      </c>
      <c r="D27" s="5" t="s">
        <v>99</v>
      </c>
      <c r="E27" s="2"/>
      <c r="F27" s="2"/>
    </row>
    <row r="28" spans="1:6" x14ac:dyDescent="0.3">
      <c r="A28" s="2" t="s">
        <v>12</v>
      </c>
      <c r="B28" s="2" t="s">
        <v>100</v>
      </c>
      <c r="C28" s="2">
        <v>11</v>
      </c>
      <c r="D28" s="5" t="s">
        <v>101</v>
      </c>
      <c r="E28" s="2" t="s">
        <v>102</v>
      </c>
      <c r="F28" s="2" t="s">
        <v>103</v>
      </c>
    </row>
    <row r="29" spans="1:6" x14ac:dyDescent="0.3">
      <c r="A29" s="2" t="s">
        <v>12</v>
      </c>
      <c r="B29" s="2" t="s">
        <v>104</v>
      </c>
      <c r="C29" s="2">
        <v>533</v>
      </c>
      <c r="D29" s="5" t="s">
        <v>105</v>
      </c>
      <c r="E29" s="2"/>
      <c r="F29" s="2" t="s">
        <v>106</v>
      </c>
    </row>
    <row r="30" spans="1:6" x14ac:dyDescent="0.3">
      <c r="A30" s="2" t="s">
        <v>12</v>
      </c>
      <c r="B30" s="2" t="s">
        <v>107</v>
      </c>
      <c r="C30" s="2">
        <v>117</v>
      </c>
      <c r="D30" s="5" t="s">
        <v>108</v>
      </c>
      <c r="E30" s="2"/>
      <c r="F30" s="2" t="s">
        <v>109</v>
      </c>
    </row>
    <row r="31" spans="1:6" x14ac:dyDescent="0.3">
      <c r="A31" s="2" t="s">
        <v>12</v>
      </c>
      <c r="B31" s="2" t="s">
        <v>110</v>
      </c>
      <c r="C31" s="2">
        <v>54</v>
      </c>
      <c r="D31" s="5" t="s">
        <v>111</v>
      </c>
      <c r="E31" s="2"/>
      <c r="F31" s="2" t="s">
        <v>112</v>
      </c>
    </row>
    <row r="32" spans="1:6" x14ac:dyDescent="0.3">
      <c r="A32" s="2" t="s">
        <v>12</v>
      </c>
      <c r="B32" s="2" t="s">
        <v>113</v>
      </c>
      <c r="C32" s="2">
        <v>4</v>
      </c>
      <c r="D32" s="5" t="s">
        <v>114</v>
      </c>
      <c r="E32" s="2"/>
      <c r="F32" s="2"/>
    </row>
    <row r="33" spans="1:6" x14ac:dyDescent="0.3">
      <c r="A33" s="2" t="s">
        <v>12</v>
      </c>
      <c r="B33" s="2" t="s">
        <v>115</v>
      </c>
      <c r="C33" s="2">
        <v>29</v>
      </c>
      <c r="D33" s="5" t="s">
        <v>116</v>
      </c>
      <c r="E33" s="2"/>
      <c r="F33" s="2" t="s">
        <v>117</v>
      </c>
    </row>
    <row r="34" spans="1:6" x14ac:dyDescent="0.3">
      <c r="A34" s="2" t="s">
        <v>12</v>
      </c>
      <c r="B34" s="2" t="s">
        <v>118</v>
      </c>
      <c r="C34" s="2">
        <v>7</v>
      </c>
      <c r="D34" s="5" t="s">
        <v>119</v>
      </c>
      <c r="E34" s="2"/>
      <c r="F34" s="2"/>
    </row>
    <row r="35" spans="1:6" x14ac:dyDescent="0.3">
      <c r="A35" s="2" t="s">
        <v>12</v>
      </c>
      <c r="B35" s="2" t="s">
        <v>120</v>
      </c>
      <c r="C35" s="2">
        <v>1</v>
      </c>
      <c r="D35" s="5" t="s">
        <v>121</v>
      </c>
      <c r="E35" s="2" t="s">
        <v>122</v>
      </c>
      <c r="F35" s="2" t="s">
        <v>123</v>
      </c>
    </row>
    <row r="36" spans="1:6" x14ac:dyDescent="0.3">
      <c r="A36" s="2" t="s">
        <v>12</v>
      </c>
      <c r="B36" s="2" t="s">
        <v>124</v>
      </c>
      <c r="C36" s="2">
        <v>1</v>
      </c>
      <c r="D36" s="5" t="s">
        <v>125</v>
      </c>
      <c r="E36" s="2" t="s">
        <v>126</v>
      </c>
      <c r="F36" s="2" t="s">
        <v>127</v>
      </c>
    </row>
    <row r="37" spans="1:6" x14ac:dyDescent="0.3">
      <c r="A37" s="2" t="s">
        <v>12</v>
      </c>
      <c r="B37" s="2" t="s">
        <v>128</v>
      </c>
      <c r="C37" s="2">
        <v>24</v>
      </c>
      <c r="D37" s="5" t="s">
        <v>129</v>
      </c>
      <c r="E37" s="2"/>
      <c r="F37" s="2" t="s">
        <v>130</v>
      </c>
    </row>
    <row r="38" spans="1:6" x14ac:dyDescent="0.3">
      <c r="A38" s="2" t="s">
        <v>12</v>
      </c>
      <c r="B38" s="2" t="s">
        <v>131</v>
      </c>
      <c r="C38" s="2">
        <v>2</v>
      </c>
      <c r="D38" s="5" t="s">
        <v>132</v>
      </c>
      <c r="E38" s="2" t="s">
        <v>133</v>
      </c>
      <c r="F38" s="2" t="s">
        <v>134</v>
      </c>
    </row>
    <row r="39" spans="1:6" x14ac:dyDescent="0.3">
      <c r="A39" s="2" t="s">
        <v>12</v>
      </c>
      <c r="B39" s="2" t="s">
        <v>135</v>
      </c>
      <c r="C39" s="2">
        <v>4</v>
      </c>
      <c r="D39" s="5" t="s">
        <v>136</v>
      </c>
      <c r="E39" s="2"/>
      <c r="F39" s="2"/>
    </row>
    <row r="40" spans="1:6" x14ac:dyDescent="0.3">
      <c r="A40" s="2" t="s">
        <v>12</v>
      </c>
      <c r="B40" s="2" t="s">
        <v>137</v>
      </c>
      <c r="C40" s="2">
        <v>15</v>
      </c>
      <c r="D40" s="5" t="s">
        <v>138</v>
      </c>
      <c r="E40" s="2"/>
      <c r="F40" s="2"/>
    </row>
    <row r="41" spans="1:6" x14ac:dyDescent="0.3">
      <c r="A41" s="2" t="s">
        <v>12</v>
      </c>
      <c r="B41" s="2" t="s">
        <v>139</v>
      </c>
      <c r="C41" s="2">
        <v>2</v>
      </c>
      <c r="D41" s="5" t="s">
        <v>140</v>
      </c>
      <c r="E41" s="2" t="s">
        <v>141</v>
      </c>
      <c r="F41" s="2" t="s">
        <v>58</v>
      </c>
    </row>
    <row r="42" spans="1:6" x14ac:dyDescent="0.3">
      <c r="A42" s="2" t="s">
        <v>12</v>
      </c>
      <c r="B42" s="2" t="s">
        <v>142</v>
      </c>
      <c r="C42" s="2">
        <v>23</v>
      </c>
      <c r="D42" s="5" t="s">
        <v>143</v>
      </c>
      <c r="E42" s="2"/>
      <c r="F42" s="2"/>
    </row>
    <row r="43" spans="1:6" x14ac:dyDescent="0.3">
      <c r="A43" s="2" t="s">
        <v>12</v>
      </c>
      <c r="B43" s="2" t="s">
        <v>144</v>
      </c>
      <c r="C43" s="2">
        <v>2</v>
      </c>
      <c r="D43" s="5" t="s">
        <v>145</v>
      </c>
      <c r="E43" s="2" t="s">
        <v>146</v>
      </c>
      <c r="F43" s="2" t="s">
        <v>147</v>
      </c>
    </row>
    <row r="44" spans="1:6" x14ac:dyDescent="0.3">
      <c r="A44" s="2" t="s">
        <v>12</v>
      </c>
      <c r="B44" s="2" t="s">
        <v>148</v>
      </c>
      <c r="C44" s="2">
        <v>2</v>
      </c>
      <c r="D44" s="5" t="s">
        <v>149</v>
      </c>
      <c r="E44" s="2" t="s">
        <v>150</v>
      </c>
      <c r="F44" s="2" t="s">
        <v>151</v>
      </c>
    </row>
    <row r="45" spans="1:6" x14ac:dyDescent="0.3">
      <c r="A45" s="2" t="s">
        <v>12</v>
      </c>
      <c r="B45" s="2" t="s">
        <v>152</v>
      </c>
      <c r="C45" s="2">
        <v>6</v>
      </c>
      <c r="D45" s="5" t="s">
        <v>153</v>
      </c>
      <c r="E45" s="2" t="s">
        <v>154</v>
      </c>
      <c r="F45" s="2" t="s">
        <v>155</v>
      </c>
    </row>
    <row r="46" spans="1:6" x14ac:dyDescent="0.3">
      <c r="A46" s="2" t="s">
        <v>12</v>
      </c>
      <c r="B46" s="2" t="s">
        <v>156</v>
      </c>
      <c r="C46" s="2">
        <v>5</v>
      </c>
      <c r="D46" s="5" t="s">
        <v>157</v>
      </c>
      <c r="E46" s="2" t="s">
        <v>158</v>
      </c>
      <c r="F46" s="2" t="s">
        <v>159</v>
      </c>
    </row>
    <row r="47" spans="1:6" x14ac:dyDescent="0.3">
      <c r="A47" s="2" t="s">
        <v>13</v>
      </c>
      <c r="B47" s="2" t="s">
        <v>160</v>
      </c>
      <c r="C47" s="2">
        <v>1</v>
      </c>
      <c r="D47" s="5" t="s">
        <v>161</v>
      </c>
      <c r="E47" s="2" t="s">
        <v>162</v>
      </c>
      <c r="F47" s="2" t="s">
        <v>163</v>
      </c>
    </row>
  </sheetData>
  <hyperlinks>
    <hyperlink ref="D2" r:id="rId1" display="../Analyse/report/mod_char.htm"/>
    <hyperlink ref="D3" r:id="rId2" display="../Analyse/report/mod_break.htm"/>
    <hyperlink ref="D4" r:id="rId3" display="../Analyse/report/mod_create_timer.htm"/>
    <hyperlink ref="D5" r:id="rId4" display="../Analyse/report/mod_delete_timer.htm"/>
    <hyperlink ref="D6" r:id="rId5" display="../Analyse/report/mod_desname.htm"/>
    <hyperlink ref="D7" r:id="rId6" display="../Analyse/report/mod_enable_item.htm"/>
    <hyperlink ref="D8" r:id="rId7" display="../Analyse/report/mod_forms_ole.initialize_container.htm"/>
    <hyperlink ref="D9" r:id="rId8" display="../Analyse/report/mod_forms_ole.server_active.htm"/>
    <hyperlink ref="D10" r:id="rId9" display="../Analyse/report/mod_get_window_property.htm"/>
    <hyperlink ref="D11" r:id="rId10" display="../Analyse/report/mod_host.htm"/>
    <hyperlink ref="D12" r:id="rId11" display="../Analyse/report/mod_initialize_container.htm"/>
    <hyperlink ref="D13" r:id="rId12" display="../Analyse/report/mod_item_enabled.htm"/>
    <hyperlink ref="D14" r:id="rId13" display="../Analyse/report/mod_ole2.htm"/>
    <hyperlink ref="D15" r:id="rId14" display="../Analyse/report/mod_ora_ffi.htm"/>
    <hyperlink ref="D16" r:id="rId15" display="../Analyse/report/mod_popupmenu_copy_item.htm"/>
    <hyperlink ref="D17" r:id="rId16" display="../Analyse/report/mod_popupmenu_cut_item.htm"/>
    <hyperlink ref="D18" r:id="rId17" display="../Analyse/report/mod_popupmenu_delobj_item.htm"/>
    <hyperlink ref="D19" r:id="rId18" display="../Analyse/report/mod_popupmenu_insobj_item.htm"/>
    <hyperlink ref="D20" r:id="rId19" display="../Analyse/report/mod_popupmenu_links_item.htm"/>
    <hyperlink ref="D21" r:id="rId20" display="../Analyse/report/mod_popupmenu_object_item.htm"/>
    <hyperlink ref="D22" r:id="rId21" display="../Analyse/report/mod_popupmenu_paste_item.htm"/>
    <hyperlink ref="D23" r:id="rId22" display="../Analyse/report/mod_run_product.htm"/>
    <hyperlink ref="D24" r:id="rId23" display="../Analyse/report/mod_server_active.htm"/>
    <hyperlink ref="D25" r:id="rId24" display="../Analyse/report/mod_set_application_property.htm"/>
    <hyperlink ref="D26" r:id="rId25" display="../Analyse/report/mod_set_timer.htm"/>
    <hyperlink ref="D27" r:id="rId26" display="../Analyse/report/mod_synchronize.htm"/>
    <hyperlink ref="D28" r:id="rId27" display="../Analyse/report/mod_terminate.htm"/>
    <hyperlink ref="D29" r:id="rId28" display="../Analyse/report/mod_text_io.htm"/>
    <hyperlink ref="D30" r:id="rId29" display="../Analyse/report/mod_text_io.fclose.htm"/>
    <hyperlink ref="D31" r:id="rId30" display="../Analyse/report/mod_text_io.put_line.htm"/>
    <hyperlink ref="D32" r:id="rId31" display="../Analyse/report/mod_user_exit.htm"/>
    <hyperlink ref="D33" r:id="rId32" display="../Analyse/report/mod_win_api.sw_shownormal.htm"/>
    <hyperlink ref="D34" r:id="rId33" display="../Analyse/report/mod_win_api_dialog.htm"/>
    <hyperlink ref="D35" r:id="rId34" display="../Analyse/report/mod_win_api_dialog.open_file.htm"/>
    <hyperlink ref="D36" r:id="rId35" display="../Analyse/report/mod_win_api_dialog.select_printer.htm"/>
    <hyperlink ref="D37" r:id="rId36" display="../Analyse/report/mod_win_api_environment.htm"/>
    <hyperlink ref="D38" r:id="rId37" display="../Analyse/report/mod_win_api_environment.read_registry.htm"/>
    <hyperlink ref="D39" r:id="rId38" display="../Analyse/report/mod_win_api_session.htm"/>
    <hyperlink ref="D40" r:id="rId39" display="../Analyse/report/mod_win_api_shell.htm"/>
    <hyperlink ref="D41" r:id="rId40" display="../Analyse/report/mod_win_api_shell.winexec.htm"/>
    <hyperlink ref="D42" r:id="rId41" display="../Analyse/report/mod_win_api_utility.htm"/>
    <hyperlink ref="D43" r:id="rId42" display="../Analyse/report/mod_win_api_utility.copy_file.htm"/>
    <hyperlink ref="D44" r:id="rId43" display="../Analyse/report/mod_win_api_utility.delete_file.htm"/>
    <hyperlink ref="D45" r:id="rId44" display="../Analyse/report/mod_win_api_utility.generate_temp_filename.htm"/>
    <hyperlink ref="D46" r:id="rId45" display="../Analyse/report/mod_win_api_utility.move_file.htm"/>
    <hyperlink ref="D47" r:id="rId46" display="../Analyse/report/mod_win_api_utility.play_wav.htm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0"/>
  <sheetViews>
    <sheetView tabSelected="1" workbookViewId="0">
      <selection activeCell="C17" sqref="C17"/>
    </sheetView>
  </sheetViews>
  <sheetFormatPr defaultRowHeight="14.4" x14ac:dyDescent="0.3"/>
  <cols>
    <col min="3" max="3" width="62.88671875" bestFit="1" customWidth="1"/>
  </cols>
  <sheetData>
    <row r="2" spans="1:4" x14ac:dyDescent="0.3">
      <c r="A2">
        <v>1</v>
      </c>
      <c r="B2">
        <v>1</v>
      </c>
      <c r="C2" t="s">
        <v>167</v>
      </c>
      <c r="D2">
        <v>1</v>
      </c>
    </row>
    <row r="3" spans="1:4" x14ac:dyDescent="0.3">
      <c r="B3">
        <v>2</v>
      </c>
      <c r="C3" t="s">
        <v>168</v>
      </c>
      <c r="D3">
        <v>2</v>
      </c>
    </row>
    <row r="4" spans="1:4" x14ac:dyDescent="0.3">
      <c r="C4" t="s">
        <v>169</v>
      </c>
    </row>
    <row r="5" spans="1:4" x14ac:dyDescent="0.3">
      <c r="C5" t="s">
        <v>170</v>
      </c>
    </row>
    <row r="6" spans="1:4" x14ac:dyDescent="0.3">
      <c r="C6" t="s">
        <v>171</v>
      </c>
    </row>
    <row r="7" spans="1:4" x14ac:dyDescent="0.3">
      <c r="B7">
        <v>3</v>
      </c>
      <c r="C7" t="s">
        <v>172</v>
      </c>
      <c r="D7">
        <v>1</v>
      </c>
    </row>
    <row r="8" spans="1:4" x14ac:dyDescent="0.3">
      <c r="B8">
        <v>4</v>
      </c>
      <c r="C8" t="s">
        <v>173</v>
      </c>
      <c r="D8">
        <v>2</v>
      </c>
    </row>
    <row r="9" spans="1:4" x14ac:dyDescent="0.3">
      <c r="B9">
        <v>5</v>
      </c>
      <c r="C9" t="s">
        <v>181</v>
      </c>
      <c r="D9">
        <v>1</v>
      </c>
    </row>
    <row r="10" spans="1:4" x14ac:dyDescent="0.3">
      <c r="B10">
        <v>6</v>
      </c>
      <c r="C10" t="s">
        <v>178</v>
      </c>
      <c r="D10">
        <v>2</v>
      </c>
    </row>
    <row r="11" spans="1:4" x14ac:dyDescent="0.3">
      <c r="D11">
        <f>SUM(D2:D10)</f>
        <v>9</v>
      </c>
    </row>
    <row r="13" spans="1:4" x14ac:dyDescent="0.3">
      <c r="A13">
        <v>2</v>
      </c>
      <c r="B13">
        <v>1</v>
      </c>
      <c r="C13" t="s">
        <v>174</v>
      </c>
      <c r="D13">
        <v>18</v>
      </c>
    </row>
    <row r="14" spans="1:4" x14ac:dyDescent="0.3">
      <c r="C14" t="s">
        <v>182</v>
      </c>
      <c r="D14">
        <v>5</v>
      </c>
    </row>
    <row r="15" spans="1:4" x14ac:dyDescent="0.3">
      <c r="C15" t="s">
        <v>183</v>
      </c>
      <c r="D15">
        <v>5</v>
      </c>
    </row>
    <row r="16" spans="1:4" x14ac:dyDescent="0.3">
      <c r="C16" t="s">
        <v>184</v>
      </c>
      <c r="D16">
        <v>5</v>
      </c>
    </row>
    <row r="17" spans="1:4" x14ac:dyDescent="0.3">
      <c r="C17" t="s">
        <v>175</v>
      </c>
      <c r="D17">
        <v>3</v>
      </c>
    </row>
    <row r="18" spans="1:4" x14ac:dyDescent="0.3">
      <c r="D18">
        <f>SUM(D13:D17)</f>
        <v>36</v>
      </c>
    </row>
    <row r="20" spans="1:4" x14ac:dyDescent="0.3">
      <c r="A20">
        <v>3</v>
      </c>
      <c r="B20">
        <v>1</v>
      </c>
      <c r="C20" t="s">
        <v>176</v>
      </c>
      <c r="D20">
        <v>5</v>
      </c>
    </row>
    <row r="21" spans="1:4" x14ac:dyDescent="0.3">
      <c r="D21">
        <f>SUM(D20)</f>
        <v>5</v>
      </c>
    </row>
    <row r="23" spans="1:4" x14ac:dyDescent="0.3">
      <c r="A23">
        <v>4</v>
      </c>
      <c r="B23">
        <v>1</v>
      </c>
      <c r="C23" t="s">
        <v>177</v>
      </c>
      <c r="D23">
        <v>3</v>
      </c>
    </row>
    <row r="24" spans="1:4" x14ac:dyDescent="0.3">
      <c r="D24">
        <f>SUM(D23)</f>
        <v>3</v>
      </c>
    </row>
    <row r="26" spans="1:4" x14ac:dyDescent="0.3">
      <c r="D26">
        <f>SUM(D11,D18,D21,D24)</f>
        <v>53</v>
      </c>
    </row>
    <row r="27" spans="1:4" x14ac:dyDescent="0.3">
      <c r="A27">
        <v>5</v>
      </c>
      <c r="B27">
        <v>1</v>
      </c>
      <c r="C27" t="s">
        <v>180</v>
      </c>
      <c r="D27" s="6">
        <f>D26*25/100</f>
        <v>13.25</v>
      </c>
    </row>
    <row r="28" spans="1:4" x14ac:dyDescent="0.3">
      <c r="D28" s="6">
        <f>SUM(D26:D27)</f>
        <v>66.25</v>
      </c>
    </row>
    <row r="29" spans="1:4" x14ac:dyDescent="0.3">
      <c r="A29">
        <v>6</v>
      </c>
      <c r="B29">
        <v>1</v>
      </c>
      <c r="C29" t="s">
        <v>179</v>
      </c>
      <c r="D29" s="6">
        <f>D28*15/100</f>
        <v>9.9375</v>
      </c>
    </row>
    <row r="30" spans="1:4" x14ac:dyDescent="0.3">
      <c r="D30" s="6">
        <f>SUM(D28:D29)</f>
        <v>76.1875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>Trivadis AG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Perry Pakull</dc:creator>
  <cp:lastModifiedBy>Perry Pakull</cp:lastModifiedBy>
  <dcterms:created xsi:type="dcterms:W3CDTF">2014-02-13T08:34:51Z</dcterms:created>
  <dcterms:modified xsi:type="dcterms:W3CDTF">2014-03-20T16:23:29Z</dcterms:modified>
</cp:coreProperties>
</file>